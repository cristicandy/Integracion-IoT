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Fermentation\"/>
    </mc:Choice>
  </mc:AlternateContent>
  <xr:revisionPtr revIDLastSave="0" documentId="13_ncr:1_{6E25F349-8D5E-41AB-A04C-A6DCAD330D2C}" xr6:coauthVersionLast="47" xr6:coauthVersionMax="47" xr10:uidLastSave="{00000000-0000-0000-0000-000000000000}"/>
  <bookViews>
    <workbookView xWindow="9324" yWindow="0" windowWidth="11964" windowHeight="12240" xr2:uid="{72241DDE-BB0F-4CA7-B166-BEFF55A7A409}"/>
  </bookViews>
  <sheets>
    <sheet name="Sheet1" sheetId="1" r:id="rId1"/>
  </sheets>
  <definedNames>
    <definedName name="_xlnm._FilterDatabase" localSheetId="0" hidden="1">Sheet1!$A$1:$T$46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L46" i="1"/>
  <c r="L43" i="1"/>
  <c r="L44" i="1"/>
  <c r="L45" i="1"/>
  <c r="L42" i="1" l="1"/>
  <c r="L41" i="1"/>
  <c r="L37" i="1" l="1"/>
  <c r="L38" i="1"/>
  <c r="L39" i="1"/>
  <c r="L40" i="1"/>
  <c r="L36" i="1"/>
  <c r="L35" i="1"/>
  <c r="L34" i="1"/>
  <c r="L33" i="1"/>
  <c r="L32" i="1"/>
  <c r="L21" i="1"/>
  <c r="L24" i="1" l="1"/>
  <c r="L25" i="1"/>
  <c r="L26" i="1"/>
  <c r="L27" i="1"/>
  <c r="L28" i="1"/>
  <c r="L29" i="1"/>
  <c r="L30" i="1"/>
  <c r="L31" i="1"/>
  <c r="L20" i="1"/>
  <c r="L22" i="1"/>
  <c r="L23" i="1"/>
  <c r="E19" i="1"/>
  <c r="L18" i="1"/>
  <c r="L19" i="1"/>
  <c r="E18" i="1"/>
  <c r="L12" i="1"/>
  <c r="L13" i="1"/>
  <c r="L14" i="1"/>
  <c r="L15" i="1"/>
  <c r="L16" i="1"/>
  <c r="L17" i="1"/>
  <c r="E12" i="1"/>
  <c r="E13" i="1"/>
  <c r="E14" i="1"/>
  <c r="E15" i="1"/>
  <c r="E16" i="1"/>
  <c r="E17" i="1"/>
  <c r="L7" i="1" l="1"/>
  <c r="L8" i="1"/>
  <c r="L9" i="1"/>
  <c r="L10" i="1"/>
  <c r="L11" i="1"/>
  <c r="L3" i="1"/>
  <c r="L4" i="1"/>
  <c r="L5" i="1"/>
  <c r="L6" i="1"/>
  <c r="L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<sst xmlns="http://schemas.openxmlformats.org/spreadsheetml/2006/main" count="208" uniqueCount="33">
  <si>
    <t>Fecha</t>
  </si>
  <si>
    <t>Temp</t>
  </si>
  <si>
    <t>densidad</t>
  </si>
  <si>
    <t>lugar</t>
  </si>
  <si>
    <t>lote</t>
  </si>
  <si>
    <t>Ph</t>
  </si>
  <si>
    <t>Celcius</t>
  </si>
  <si>
    <t>Laboratorio</t>
  </si>
  <si>
    <t>L2SA</t>
  </si>
  <si>
    <t>Acidez Total</t>
  </si>
  <si>
    <t>T ambiente</t>
  </si>
  <si>
    <t>alcohol aprox</t>
  </si>
  <si>
    <t>Observaciones</t>
  </si>
  <si>
    <t>Terminado</t>
  </si>
  <si>
    <t>Inicio</t>
  </si>
  <si>
    <t>brix refrectometro</t>
  </si>
  <si>
    <t>brix aprox</t>
  </si>
  <si>
    <t>B3SA</t>
  </si>
  <si>
    <t>B4SA</t>
  </si>
  <si>
    <t>Bodega</t>
  </si>
  <si>
    <t>B5SA</t>
  </si>
  <si>
    <t>Orujo de uva</t>
  </si>
  <si>
    <t>Borgoña del norte</t>
  </si>
  <si>
    <t>Borgoña del sur</t>
  </si>
  <si>
    <t>Uva colombia</t>
  </si>
  <si>
    <t>Alcolyzer</t>
  </si>
  <si>
    <t>Tipo de uva</t>
  </si>
  <si>
    <t>dias</t>
  </si>
  <si>
    <t>lote1</t>
  </si>
  <si>
    <t>sugar</t>
  </si>
  <si>
    <t>MS</t>
  </si>
  <si>
    <t>Strain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</si>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</sst>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0" fontId="0" fillId="0" borderId="0" xfId="0" applyFill="1"/>
    <xf numFmtId="165" fontId="0" fillId="0" borderId="1" xfId="0" applyNumberFormat="1" applyFill="1" applyBorder="1"/>
    <xf numFmtId="164" fontId="0" fillId="0" borderId="1" xfId="1" applyFont="1" applyFill="1" applyBorder="1"/>
    <xf numFmtId="14" fontId="0" fillId="0" borderId="1" xfId="0" applyNumberFormat="1" applyFill="1" applyBorder="1"/>
    <xf numFmtId="165" fontId="0" fillId="0" borderId="0" xfId="0" applyNumberFormat="1" applyFill="1"/>
    <xf numFmtId="164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BB39-C028-4243-8E0E-D5C96DD83C88}">
  <dimension ref="A1:T46"/>
  <sheetViews>
    <sheetView tabSelected="1" topLeftCell="E1" workbookViewId="0">
      <pane ySplit="1" topLeftCell="A21" activePane="bottomLeft" state="frozen"/>
      <selection pane="bottomLeft" activeCell="K27" sqref="K27"/>
    </sheetView>
  </sheetViews>
  <sheetFormatPr baseColWidth="10" defaultColWidth="8.796875" defaultRowHeight="13.8"/>
  <cols>
    <col min="1" max="1" width="10.296875" style="2" bestFit="1" customWidth="1"/>
    <col min="2" max="2" width="7.59765625" style="2" bestFit="1" customWidth="1"/>
    <col min="3" max="3" width="6.19921875" style="2" bestFit="1" customWidth="1"/>
    <col min="4" max="4" width="8.796875" style="2" customWidth="1"/>
    <col min="5" max="5" width="8.796875" style="2"/>
    <col min="6" max="6" width="10.3984375" style="6" bestFit="1" customWidth="1"/>
    <col min="7" max="7" width="10" style="7" bestFit="1" customWidth="1"/>
    <col min="8" max="9" width="10" style="7" customWidth="1"/>
    <col min="10" max="10" width="14.796875" style="2" customWidth="1"/>
    <col min="11" max="11" width="8.796875" style="2" customWidth="1"/>
    <col min="12" max="12" width="11.69921875" style="2" customWidth="1"/>
    <col min="13" max="13" width="8.796875" style="7" customWidth="1"/>
    <col min="14" max="15" width="10.19921875" style="2" customWidth="1"/>
    <col min="16" max="18" width="8.796875" style="2"/>
    <col min="19" max="19" width="12.8984375" style="2" bestFit="1" customWidth="1"/>
    <col min="20" max="20" width="15.19921875" style="2" bestFit="1" customWidth="1"/>
    <col min="21" max="16384" width="8.796875" style="2"/>
  </cols>
  <sheetData>
    <row r="1" spans="1:20">
      <c r="A1" s="1" t="s">
        <v>0</v>
      </c>
      <c r="B1" s="1" t="s">
        <v>31</v>
      </c>
      <c r="C1" s="1" t="s">
        <v>27</v>
      </c>
      <c r="D1" s="1" t="s">
        <v>1</v>
      </c>
      <c r="E1" s="1" t="s">
        <v>6</v>
      </c>
      <c r="F1" s="3" t="s">
        <v>2</v>
      </c>
      <c r="G1" s="4" t="s">
        <v>16</v>
      </c>
      <c r="H1" s="4" t="s">
        <v>30</v>
      </c>
      <c r="I1" s="4" t="s">
        <v>29</v>
      </c>
      <c r="J1" s="1" t="s">
        <v>15</v>
      </c>
      <c r="K1" s="1" t="s">
        <v>25</v>
      </c>
      <c r="L1" s="1" t="s">
        <v>11</v>
      </c>
      <c r="M1" s="4" t="s">
        <v>5</v>
      </c>
      <c r="N1" s="1" t="s">
        <v>3</v>
      </c>
      <c r="O1" s="1" t="s">
        <v>4</v>
      </c>
      <c r="P1" s="1" t="s">
        <v>28</v>
      </c>
      <c r="Q1" s="1" t="s">
        <v>9</v>
      </c>
      <c r="R1" s="1" t="s">
        <v>10</v>
      </c>
      <c r="S1" s="1" t="s">
        <v>12</v>
      </c>
      <c r="T1" s="1" t="s">
        <v>26</v>
      </c>
    </row>
    <row r="2" spans="1:20">
      <c r="A2" s="5">
        <v>45201</v>
      </c>
      <c r="B2" s="5" t="s">
        <v>32</v>
      </c>
      <c r="C2" s="1">
        <v>0</v>
      </c>
      <c r="D2" s="1">
        <v>69.2</v>
      </c>
      <c r="E2" s="1">
        <f>(D2-32) *5/9</f>
        <v>20.666666666666668</v>
      </c>
      <c r="F2" s="3">
        <v>1.10033</v>
      </c>
      <c r="G2" s="4">
        <v>23.8</v>
      </c>
      <c r="H2" s="4">
        <v>230</v>
      </c>
      <c r="I2" s="4">
        <f t="shared" ref="I2:I41" si="0">G2*10</f>
        <v>238</v>
      </c>
      <c r="J2" s="1">
        <v>22</v>
      </c>
      <c r="K2" s="1">
        <v>-0.13</v>
      </c>
      <c r="L2" s="1">
        <f>($F$2-F2)*131</f>
        <v>0</v>
      </c>
      <c r="M2" s="4">
        <v>3.04</v>
      </c>
      <c r="N2" s="1" t="s">
        <v>7</v>
      </c>
      <c r="O2" s="1">
        <v>1</v>
      </c>
      <c r="P2" s="1" t="s">
        <v>8</v>
      </c>
      <c r="Q2" s="1">
        <v>6.81</v>
      </c>
      <c r="R2" s="1"/>
      <c r="S2" s="1" t="s">
        <v>14</v>
      </c>
      <c r="T2" s="1" t="s">
        <v>24</v>
      </c>
    </row>
    <row r="3" spans="1:20">
      <c r="A3" s="5">
        <v>45202</v>
      </c>
      <c r="B3" s="5" t="s">
        <v>32</v>
      </c>
      <c r="C3" s="1">
        <v>1</v>
      </c>
      <c r="D3" s="1">
        <v>69.400000000000006</v>
      </c>
      <c r="E3" s="1">
        <f t="shared" ref="E3:E11" si="1">(D3-32) *5/9</f>
        <v>20.777777777777782</v>
      </c>
      <c r="F3" s="3">
        <v>1.0912500000000001</v>
      </c>
      <c r="G3" s="4">
        <v>21.8</v>
      </c>
      <c r="H3" s="4">
        <v>230</v>
      </c>
      <c r="I3" s="4">
        <f t="shared" si="0"/>
        <v>218</v>
      </c>
      <c r="J3" s="1">
        <v>21</v>
      </c>
      <c r="K3" s="1">
        <v>1.1299999999999999</v>
      </c>
      <c r="L3" s="1">
        <f t="shared" ref="L3" si="2">($F$2-F3)*131</f>
        <v>1.189479999999997</v>
      </c>
      <c r="M3" s="4">
        <v>3.04</v>
      </c>
      <c r="N3" s="1" t="s">
        <v>7</v>
      </c>
      <c r="O3" s="1">
        <v>1</v>
      </c>
      <c r="P3" s="1" t="s">
        <v>8</v>
      </c>
      <c r="Q3" s="1">
        <v>6.81</v>
      </c>
      <c r="R3" s="1"/>
      <c r="S3" s="1"/>
      <c r="T3" s="1" t="s">
        <v>24</v>
      </c>
    </row>
    <row r="4" spans="1:20">
      <c r="A4" s="5">
        <v>45203</v>
      </c>
      <c r="B4" s="5" t="s">
        <v>32</v>
      </c>
      <c r="C4" s="1">
        <v>2</v>
      </c>
      <c r="D4" s="1">
        <v>70.7</v>
      </c>
      <c r="E4" s="1">
        <f t="shared" si="1"/>
        <v>21.5</v>
      </c>
      <c r="F4" s="3">
        <v>1.08067</v>
      </c>
      <c r="G4" s="4">
        <v>19.399999999999999</v>
      </c>
      <c r="H4" s="4">
        <v>230</v>
      </c>
      <c r="I4" s="4">
        <f t="shared" si="0"/>
        <v>194</v>
      </c>
      <c r="J4" s="1">
        <v>20.5</v>
      </c>
      <c r="K4" s="1">
        <v>2.14</v>
      </c>
      <c r="L4" s="1">
        <f t="shared" ref="L4" si="3">($F$2-F4)*131</f>
        <v>2.5754600000000014</v>
      </c>
      <c r="M4" s="4">
        <v>3.04</v>
      </c>
      <c r="N4" s="1" t="s">
        <v>7</v>
      </c>
      <c r="O4" s="1">
        <v>1</v>
      </c>
      <c r="P4" s="1" t="s">
        <v>8</v>
      </c>
      <c r="Q4" s="1">
        <v>6.81</v>
      </c>
      <c r="R4" s="1">
        <v>20.3</v>
      </c>
      <c r="S4" s="1"/>
      <c r="T4" s="1" t="s">
        <v>24</v>
      </c>
    </row>
    <row r="5" spans="1:20">
      <c r="A5" s="5">
        <v>45204</v>
      </c>
      <c r="B5" s="5" t="s">
        <v>32</v>
      </c>
      <c r="C5" s="1">
        <v>3</v>
      </c>
      <c r="D5" s="1">
        <v>69.2</v>
      </c>
      <c r="E5" s="1">
        <f t="shared" si="1"/>
        <v>20.666666666666668</v>
      </c>
      <c r="F5" s="3">
        <v>1.06392</v>
      </c>
      <c r="G5" s="4">
        <v>15.6</v>
      </c>
      <c r="H5" s="4">
        <v>230</v>
      </c>
      <c r="I5" s="4">
        <f t="shared" si="0"/>
        <v>156</v>
      </c>
      <c r="J5" s="1">
        <v>19.5</v>
      </c>
      <c r="K5" s="1">
        <v>2.76</v>
      </c>
      <c r="L5" s="1">
        <f t="shared" ref="L5" si="4">($F$2-F5)*131</f>
        <v>4.769710000000007</v>
      </c>
      <c r="M5" s="4">
        <v>3.04</v>
      </c>
      <c r="N5" s="1" t="s">
        <v>7</v>
      </c>
      <c r="O5" s="1">
        <v>1</v>
      </c>
      <c r="P5" s="1" t="s">
        <v>8</v>
      </c>
      <c r="Q5" s="1">
        <v>6.81</v>
      </c>
      <c r="R5" s="1"/>
      <c r="S5" s="1"/>
      <c r="T5" s="1" t="s">
        <v>24</v>
      </c>
    </row>
    <row r="6" spans="1:20">
      <c r="A6" s="5">
        <v>45205</v>
      </c>
      <c r="B6" s="5" t="s">
        <v>32</v>
      </c>
      <c r="C6" s="1">
        <v>4</v>
      </c>
      <c r="D6" s="1">
        <v>71.099999999999994</v>
      </c>
      <c r="E6" s="1">
        <f t="shared" si="1"/>
        <v>21.722222222222218</v>
      </c>
      <c r="F6" s="3">
        <v>1.04863</v>
      </c>
      <c r="G6" s="4">
        <v>12</v>
      </c>
      <c r="H6" s="4">
        <v>230</v>
      </c>
      <c r="I6" s="4">
        <f t="shared" si="0"/>
        <v>120</v>
      </c>
      <c r="J6" s="1">
        <v>17</v>
      </c>
      <c r="K6" s="1">
        <v>3.67</v>
      </c>
      <c r="L6" s="1">
        <f t="shared" ref="L6:L19" si="5">($F$2-F6)*131</f>
        <v>6.7727000000000102</v>
      </c>
      <c r="M6" s="4">
        <v>3.06</v>
      </c>
      <c r="N6" s="1" t="s">
        <v>7</v>
      </c>
      <c r="O6" s="1">
        <v>1</v>
      </c>
      <c r="P6" s="1" t="s">
        <v>8</v>
      </c>
      <c r="Q6" s="1">
        <v>6.81</v>
      </c>
      <c r="R6" s="1">
        <v>20.5</v>
      </c>
      <c r="S6" s="1"/>
      <c r="T6" s="1" t="s">
        <v>24</v>
      </c>
    </row>
    <row r="7" spans="1:20">
      <c r="A7" s="5">
        <v>45209</v>
      </c>
      <c r="B7" s="5" t="s">
        <v>32</v>
      </c>
      <c r="C7" s="1">
        <v>8</v>
      </c>
      <c r="D7" s="1">
        <v>72.5</v>
      </c>
      <c r="E7" s="1">
        <f t="shared" si="1"/>
        <v>22.5</v>
      </c>
      <c r="F7" s="3">
        <v>1.0478700000000001</v>
      </c>
      <c r="G7" s="4">
        <v>11.8</v>
      </c>
      <c r="H7" s="4">
        <v>230</v>
      </c>
      <c r="I7" s="4">
        <f t="shared" si="0"/>
        <v>118</v>
      </c>
      <c r="J7" s="1">
        <v>15</v>
      </c>
      <c r="K7" s="1">
        <v>5.66</v>
      </c>
      <c r="L7" s="1">
        <f t="shared" si="5"/>
        <v>6.8722599999999936</v>
      </c>
      <c r="M7" s="4">
        <v>3.06</v>
      </c>
      <c r="N7" s="1" t="s">
        <v>7</v>
      </c>
      <c r="O7" s="1">
        <v>1</v>
      </c>
      <c r="P7" s="1" t="s">
        <v>8</v>
      </c>
      <c r="Q7" s="1">
        <v>6.81</v>
      </c>
      <c r="R7" s="1">
        <v>20.100000000000001</v>
      </c>
      <c r="S7" s="1"/>
      <c r="T7" s="1" t="s">
        <v>24</v>
      </c>
    </row>
    <row r="8" spans="1:20">
      <c r="A8" s="5">
        <v>45210</v>
      </c>
      <c r="B8" s="5" t="s">
        <v>32</v>
      </c>
      <c r="C8" s="1">
        <v>9</v>
      </c>
      <c r="D8" s="1">
        <v>71.8</v>
      </c>
      <c r="E8" s="1">
        <f t="shared" si="1"/>
        <v>22.111111111111111</v>
      </c>
      <c r="F8" s="3">
        <v>1.0436300000000001</v>
      </c>
      <c r="G8" s="4">
        <v>10.8</v>
      </c>
      <c r="H8" s="4">
        <v>230</v>
      </c>
      <c r="I8" s="4">
        <f t="shared" si="0"/>
        <v>108</v>
      </c>
      <c r="J8" s="1">
        <v>13</v>
      </c>
      <c r="K8" s="1">
        <v>6.38</v>
      </c>
      <c r="L8" s="1">
        <f t="shared" si="5"/>
        <v>7.4276999999999962</v>
      </c>
      <c r="M8" s="4">
        <v>3.06</v>
      </c>
      <c r="N8" s="1" t="s">
        <v>7</v>
      </c>
      <c r="O8" s="1">
        <v>1</v>
      </c>
      <c r="P8" s="1" t="s">
        <v>8</v>
      </c>
      <c r="Q8" s="1">
        <v>6.81</v>
      </c>
      <c r="R8" s="1">
        <v>20.100000000000001</v>
      </c>
      <c r="S8" s="1"/>
      <c r="T8" s="1" t="s">
        <v>24</v>
      </c>
    </row>
    <row r="9" spans="1:20">
      <c r="A9" s="5">
        <v>45211</v>
      </c>
      <c r="B9" s="5" t="s">
        <v>32</v>
      </c>
      <c r="C9" s="1">
        <v>10</v>
      </c>
      <c r="D9" s="1">
        <v>70.8</v>
      </c>
      <c r="E9" s="1">
        <f t="shared" si="1"/>
        <v>21.555555555555557</v>
      </c>
      <c r="F9" s="3">
        <v>1.0408500000000001</v>
      </c>
      <c r="G9" s="4">
        <v>10.199999999999999</v>
      </c>
      <c r="H9" s="4">
        <v>230</v>
      </c>
      <c r="I9" s="4">
        <f t="shared" si="0"/>
        <v>102</v>
      </c>
      <c r="J9" s="1">
        <v>13</v>
      </c>
      <c r="K9" s="1">
        <v>6.94</v>
      </c>
      <c r="L9" s="1">
        <f t="shared" si="5"/>
        <v>7.7918799999999973</v>
      </c>
      <c r="M9" s="4">
        <v>3.09</v>
      </c>
      <c r="N9" s="1" t="s">
        <v>7</v>
      </c>
      <c r="O9" s="1">
        <v>1</v>
      </c>
      <c r="P9" s="1" t="s">
        <v>8</v>
      </c>
      <c r="Q9" s="1">
        <v>6.81</v>
      </c>
      <c r="R9" s="1">
        <v>23.6</v>
      </c>
      <c r="S9" s="1"/>
      <c r="T9" s="1" t="s">
        <v>24</v>
      </c>
    </row>
    <row r="10" spans="1:20">
      <c r="A10" s="5">
        <v>45212</v>
      </c>
      <c r="B10" s="5" t="s">
        <v>32</v>
      </c>
      <c r="C10" s="1">
        <v>11</v>
      </c>
      <c r="D10" s="1">
        <v>70.7</v>
      </c>
      <c r="E10" s="1">
        <f t="shared" si="1"/>
        <v>21.5</v>
      </c>
      <c r="F10" s="3">
        <v>1.0375399999999999</v>
      </c>
      <c r="G10" s="4">
        <v>9.4</v>
      </c>
      <c r="H10" s="4">
        <v>230</v>
      </c>
      <c r="I10" s="4">
        <f t="shared" si="0"/>
        <v>94</v>
      </c>
      <c r="J10" s="1">
        <v>12.5</v>
      </c>
      <c r="K10" s="1">
        <v>7.33</v>
      </c>
      <c r="L10" s="1">
        <f t="shared" si="5"/>
        <v>8.2254900000000166</v>
      </c>
      <c r="M10" s="4">
        <v>3.06</v>
      </c>
      <c r="N10" s="1" t="s">
        <v>7</v>
      </c>
      <c r="O10" s="1">
        <v>1</v>
      </c>
      <c r="P10" s="1" t="s">
        <v>8</v>
      </c>
      <c r="Q10" s="1">
        <v>6.81</v>
      </c>
      <c r="R10" s="1">
        <v>20</v>
      </c>
      <c r="S10" s="1"/>
      <c r="T10" s="1" t="s">
        <v>24</v>
      </c>
    </row>
    <row r="11" spans="1:20">
      <c r="A11" s="5">
        <v>45216</v>
      </c>
      <c r="B11" s="5" t="s">
        <v>32</v>
      </c>
      <c r="C11" s="1">
        <v>15</v>
      </c>
      <c r="D11" s="1">
        <v>67.599999999999994</v>
      </c>
      <c r="E11" s="1">
        <f t="shared" si="1"/>
        <v>19.777777777777775</v>
      </c>
      <c r="F11" s="3">
        <v>1.0240100000000001</v>
      </c>
      <c r="G11" s="4">
        <v>6.2</v>
      </c>
      <c r="H11" s="4">
        <v>230</v>
      </c>
      <c r="I11" s="4">
        <f t="shared" si="0"/>
        <v>62</v>
      </c>
      <c r="J11" s="1">
        <v>11</v>
      </c>
      <c r="K11" s="1">
        <v>8.3800000000000008</v>
      </c>
      <c r="L11" s="1">
        <f t="shared" si="5"/>
        <v>9.9979199999999935</v>
      </c>
      <c r="M11" s="4">
        <v>3.11</v>
      </c>
      <c r="N11" s="1" t="s">
        <v>7</v>
      </c>
      <c r="O11" s="1">
        <v>1</v>
      </c>
      <c r="P11" s="1" t="s">
        <v>8</v>
      </c>
      <c r="Q11" s="1">
        <v>6.81</v>
      </c>
      <c r="R11" s="1">
        <v>20.5</v>
      </c>
      <c r="S11" s="1"/>
      <c r="T11" s="1" t="s">
        <v>24</v>
      </c>
    </row>
    <row r="12" spans="1:20">
      <c r="A12" s="5">
        <v>45217</v>
      </c>
      <c r="B12" s="5" t="s">
        <v>32</v>
      </c>
      <c r="C12" s="1">
        <v>16</v>
      </c>
      <c r="D12" s="1">
        <v>68</v>
      </c>
      <c r="E12" s="1">
        <f t="shared" ref="E12:E19" si="6">(D12-32) *5/9</f>
        <v>20</v>
      </c>
      <c r="F12" s="1">
        <v>1.0206599999999999</v>
      </c>
      <c r="G12" s="4">
        <v>5.2</v>
      </c>
      <c r="H12" s="4">
        <v>230</v>
      </c>
      <c r="I12" s="4">
        <f t="shared" si="0"/>
        <v>52</v>
      </c>
      <c r="J12" s="1">
        <v>11</v>
      </c>
      <c r="K12" s="1">
        <v>9.36</v>
      </c>
      <c r="L12" s="1">
        <f t="shared" si="5"/>
        <v>10.436770000000017</v>
      </c>
      <c r="M12" s="4">
        <v>3.06</v>
      </c>
      <c r="N12" s="1" t="s">
        <v>7</v>
      </c>
      <c r="O12" s="1">
        <v>1</v>
      </c>
      <c r="P12" s="1" t="s">
        <v>8</v>
      </c>
      <c r="Q12" s="1">
        <v>6.81</v>
      </c>
      <c r="R12" s="1">
        <v>20.5</v>
      </c>
      <c r="S12" s="1"/>
      <c r="T12" s="1" t="s">
        <v>24</v>
      </c>
    </row>
    <row r="13" spans="1:20">
      <c r="A13" s="5">
        <v>45218</v>
      </c>
      <c r="B13" s="5" t="s">
        <v>32</v>
      </c>
      <c r="C13" s="1">
        <v>17</v>
      </c>
      <c r="D13" s="1">
        <v>70.400000000000006</v>
      </c>
      <c r="E13" s="1">
        <f t="shared" si="6"/>
        <v>21.333333333333336</v>
      </c>
      <c r="F13" s="3">
        <v>1.0117700000000001</v>
      </c>
      <c r="G13" s="4">
        <v>3</v>
      </c>
      <c r="H13" s="4">
        <v>230</v>
      </c>
      <c r="I13" s="4">
        <f t="shared" si="0"/>
        <v>30</v>
      </c>
      <c r="J13" s="1">
        <v>10</v>
      </c>
      <c r="K13" s="1">
        <v>9.43</v>
      </c>
      <c r="L13" s="1">
        <f t="shared" si="5"/>
        <v>11.601359999999996</v>
      </c>
      <c r="M13" s="4">
        <v>3.07</v>
      </c>
      <c r="N13" s="1" t="s">
        <v>7</v>
      </c>
      <c r="O13" s="1">
        <v>1</v>
      </c>
      <c r="P13" s="1" t="s">
        <v>8</v>
      </c>
      <c r="Q13" s="1">
        <v>6.81</v>
      </c>
      <c r="R13" s="1">
        <v>21.8</v>
      </c>
      <c r="S13" s="1"/>
      <c r="T13" s="1" t="s">
        <v>24</v>
      </c>
    </row>
    <row r="14" spans="1:20">
      <c r="A14" s="5">
        <v>45219</v>
      </c>
      <c r="B14" s="5" t="s">
        <v>32</v>
      </c>
      <c r="C14" s="1">
        <v>18</v>
      </c>
      <c r="D14" s="1">
        <v>68.099999999999994</v>
      </c>
      <c r="E14" s="1">
        <f t="shared" si="6"/>
        <v>20.055555555555554</v>
      </c>
      <c r="F14" s="3">
        <v>1.01156</v>
      </c>
      <c r="G14" s="4">
        <v>3</v>
      </c>
      <c r="H14" s="4">
        <v>230</v>
      </c>
      <c r="I14" s="4">
        <f t="shared" si="0"/>
        <v>30</v>
      </c>
      <c r="J14" s="1">
        <v>9.5</v>
      </c>
      <c r="K14" s="1">
        <v>10.15</v>
      </c>
      <c r="L14" s="1">
        <f t="shared" si="5"/>
        <v>11.628870000000003</v>
      </c>
      <c r="M14" s="4">
        <v>3.13</v>
      </c>
      <c r="N14" s="1" t="s">
        <v>7</v>
      </c>
      <c r="O14" s="1">
        <v>1</v>
      </c>
      <c r="P14" s="1" t="s">
        <v>8</v>
      </c>
      <c r="Q14" s="1">
        <v>6.81</v>
      </c>
      <c r="R14" s="1">
        <v>21.5</v>
      </c>
      <c r="S14" s="1"/>
      <c r="T14" s="1" t="s">
        <v>24</v>
      </c>
    </row>
    <row r="15" spans="1:20">
      <c r="A15" s="5">
        <v>45222</v>
      </c>
      <c r="B15" s="5" t="s">
        <v>32</v>
      </c>
      <c r="C15" s="1">
        <v>21</v>
      </c>
      <c r="D15" s="1">
        <v>69.7</v>
      </c>
      <c r="E15" s="1">
        <f t="shared" si="6"/>
        <v>20.944444444444443</v>
      </c>
      <c r="F15" s="3">
        <v>1.00617</v>
      </c>
      <c r="G15" s="4">
        <v>1.6</v>
      </c>
      <c r="H15" s="4">
        <v>230</v>
      </c>
      <c r="I15" s="4">
        <f t="shared" si="0"/>
        <v>16</v>
      </c>
      <c r="J15" s="1">
        <v>9</v>
      </c>
      <c r="K15" s="1">
        <v>10.91</v>
      </c>
      <c r="L15" s="1">
        <f t="shared" si="5"/>
        <v>12.334960000000002</v>
      </c>
      <c r="M15" s="4">
        <v>3.09</v>
      </c>
      <c r="N15" s="1" t="s">
        <v>7</v>
      </c>
      <c r="O15" s="1">
        <v>1</v>
      </c>
      <c r="P15" s="1" t="s">
        <v>8</v>
      </c>
      <c r="Q15" s="1">
        <v>6.81</v>
      </c>
      <c r="R15" s="1">
        <v>20.5</v>
      </c>
      <c r="S15" s="1"/>
      <c r="T15" s="1" t="s">
        <v>24</v>
      </c>
    </row>
    <row r="16" spans="1:20">
      <c r="A16" s="5">
        <v>45223</v>
      </c>
      <c r="B16" s="5" t="s">
        <v>32</v>
      </c>
      <c r="C16" s="1">
        <v>22</v>
      </c>
      <c r="D16" s="1">
        <v>70.3</v>
      </c>
      <c r="E16" s="1">
        <f t="shared" si="6"/>
        <v>21.277777777777779</v>
      </c>
      <c r="F16" s="3">
        <v>1.0046299999999999</v>
      </c>
      <c r="G16" s="4">
        <v>0.6</v>
      </c>
      <c r="H16" s="4">
        <v>230</v>
      </c>
      <c r="I16" s="4">
        <f t="shared" si="0"/>
        <v>6</v>
      </c>
      <c r="J16" s="1">
        <v>8</v>
      </c>
      <c r="K16" s="1">
        <v>11.37</v>
      </c>
      <c r="L16" s="1">
        <f t="shared" si="5"/>
        <v>12.536700000000016</v>
      </c>
      <c r="M16" s="4">
        <v>3.09</v>
      </c>
      <c r="N16" s="1" t="s">
        <v>7</v>
      </c>
      <c r="O16" s="1">
        <v>1</v>
      </c>
      <c r="P16" s="1" t="s">
        <v>8</v>
      </c>
      <c r="Q16" s="1">
        <v>6.81</v>
      </c>
      <c r="R16" s="1">
        <v>20.9</v>
      </c>
      <c r="S16" s="1"/>
      <c r="T16" s="1" t="s">
        <v>24</v>
      </c>
    </row>
    <row r="17" spans="1:20">
      <c r="A17" s="5">
        <v>45224</v>
      </c>
      <c r="B17" s="5" t="s">
        <v>32</v>
      </c>
      <c r="C17" s="1">
        <v>23</v>
      </c>
      <c r="D17" s="1">
        <v>70.900000000000006</v>
      </c>
      <c r="E17" s="1">
        <f t="shared" si="6"/>
        <v>21.611111111111114</v>
      </c>
      <c r="F17" s="3">
        <v>0.99007999999999996</v>
      </c>
      <c r="G17" s="4">
        <v>0</v>
      </c>
      <c r="H17" s="4">
        <v>230</v>
      </c>
      <c r="I17" s="4">
        <f t="shared" si="0"/>
        <v>0</v>
      </c>
      <c r="J17" s="1">
        <v>7</v>
      </c>
      <c r="K17" s="1">
        <v>11.43</v>
      </c>
      <c r="L17" s="1">
        <f t="shared" si="5"/>
        <v>14.442750000000009</v>
      </c>
      <c r="M17" s="4">
        <v>3.09</v>
      </c>
      <c r="N17" s="1" t="s">
        <v>7</v>
      </c>
      <c r="O17" s="1">
        <v>1</v>
      </c>
      <c r="P17" s="1" t="s">
        <v>8</v>
      </c>
      <c r="Q17" s="1">
        <v>6.81</v>
      </c>
      <c r="R17" s="1">
        <v>20.9</v>
      </c>
      <c r="S17" s="1"/>
      <c r="T17" s="1" t="s">
        <v>24</v>
      </c>
    </row>
    <row r="18" spans="1:20">
      <c r="A18" s="5">
        <v>45225</v>
      </c>
      <c r="B18" s="5" t="s">
        <v>32</v>
      </c>
      <c r="C18" s="1">
        <v>24</v>
      </c>
      <c r="D18" s="1">
        <v>67.5</v>
      </c>
      <c r="E18" s="1">
        <f t="shared" si="6"/>
        <v>19.722222222222221</v>
      </c>
      <c r="F18" s="3">
        <v>1.00091</v>
      </c>
      <c r="G18" s="4">
        <v>0</v>
      </c>
      <c r="H18" s="4">
        <v>230</v>
      </c>
      <c r="I18" s="4">
        <f t="shared" si="0"/>
        <v>0</v>
      </c>
      <c r="J18" s="1">
        <v>7</v>
      </c>
      <c r="K18" s="1">
        <v>11.92</v>
      </c>
      <c r="L18" s="1">
        <f t="shared" si="5"/>
        <v>13.024020000000009</v>
      </c>
      <c r="M18" s="4">
        <v>3.13</v>
      </c>
      <c r="N18" s="1" t="s">
        <v>7</v>
      </c>
      <c r="O18" s="1">
        <v>1</v>
      </c>
      <c r="P18" s="1" t="s">
        <v>8</v>
      </c>
      <c r="Q18" s="1">
        <v>6.81</v>
      </c>
      <c r="R18" s="1">
        <v>19.600000000000001</v>
      </c>
      <c r="S18" s="1"/>
      <c r="T18" s="1" t="s">
        <v>24</v>
      </c>
    </row>
    <row r="19" spans="1:20">
      <c r="A19" s="5">
        <v>45229</v>
      </c>
      <c r="B19" s="5" t="s">
        <v>32</v>
      </c>
      <c r="C19" s="1">
        <v>28</v>
      </c>
      <c r="D19" s="1">
        <v>65.2</v>
      </c>
      <c r="E19" s="1">
        <f t="shared" si="6"/>
        <v>18.444444444444443</v>
      </c>
      <c r="F19" s="3">
        <v>0.97560000000000002</v>
      </c>
      <c r="G19" s="4">
        <v>0</v>
      </c>
      <c r="H19" s="4">
        <v>230</v>
      </c>
      <c r="I19" s="4">
        <f t="shared" si="0"/>
        <v>0</v>
      </c>
      <c r="J19" s="1">
        <v>5</v>
      </c>
      <c r="K19" s="1">
        <v>12.46</v>
      </c>
      <c r="L19" s="1">
        <f t="shared" si="5"/>
        <v>16.33963</v>
      </c>
      <c r="M19" s="4">
        <v>3.13</v>
      </c>
      <c r="N19" s="1" t="s">
        <v>7</v>
      </c>
      <c r="O19" s="1">
        <v>1</v>
      </c>
      <c r="P19" s="1" t="s">
        <v>8</v>
      </c>
      <c r="Q19" s="1">
        <v>6.81</v>
      </c>
      <c r="R19" s="1">
        <v>20.100000000000001</v>
      </c>
      <c r="S19" s="1" t="s">
        <v>13</v>
      </c>
      <c r="T19" s="1" t="s">
        <v>24</v>
      </c>
    </row>
    <row r="20" spans="1:20">
      <c r="A20" s="5">
        <v>45485</v>
      </c>
      <c r="B20" s="5" t="s">
        <v>32</v>
      </c>
      <c r="C20" s="1">
        <v>0</v>
      </c>
      <c r="D20" s="1"/>
      <c r="E20" s="1">
        <v>19.399999999999999</v>
      </c>
      <c r="F20" s="3">
        <v>1.0900000000000001</v>
      </c>
      <c r="G20" s="4">
        <v>21</v>
      </c>
      <c r="H20" s="4">
        <v>210</v>
      </c>
      <c r="I20" s="4">
        <f t="shared" si="0"/>
        <v>210</v>
      </c>
      <c r="J20" s="1">
        <v>21</v>
      </c>
      <c r="K20" s="1">
        <v>0</v>
      </c>
      <c r="L20" s="1">
        <f>(1.09-F20)*131</f>
        <v>0</v>
      </c>
      <c r="M20" s="4">
        <v>3</v>
      </c>
      <c r="N20" s="1" t="s">
        <v>19</v>
      </c>
      <c r="O20" s="1">
        <v>2</v>
      </c>
      <c r="P20" s="1" t="s">
        <v>17</v>
      </c>
      <c r="Q20" s="1"/>
      <c r="R20" s="1"/>
      <c r="S20" s="1" t="s">
        <v>14</v>
      </c>
      <c r="T20" s="1" t="s">
        <v>23</v>
      </c>
    </row>
    <row r="21" spans="1:20">
      <c r="A21" s="5">
        <v>45486</v>
      </c>
      <c r="B21" s="5" t="s">
        <v>32</v>
      </c>
      <c r="C21" s="1">
        <v>0</v>
      </c>
      <c r="D21" s="1"/>
      <c r="E21" s="1">
        <v>19.399999999999999</v>
      </c>
      <c r="F21" s="3">
        <v>1.0900000000000001</v>
      </c>
      <c r="G21" s="4">
        <v>21</v>
      </c>
      <c r="H21" s="4">
        <v>210</v>
      </c>
      <c r="I21" s="4">
        <f t="shared" si="0"/>
        <v>210</v>
      </c>
      <c r="J21" s="1">
        <v>21</v>
      </c>
      <c r="K21" s="1">
        <v>0</v>
      </c>
      <c r="L21" s="1">
        <f>(1.09-F21)*131</f>
        <v>0</v>
      </c>
      <c r="M21" s="4">
        <v>3</v>
      </c>
      <c r="N21" s="1" t="s">
        <v>19</v>
      </c>
      <c r="O21" s="1">
        <v>3</v>
      </c>
      <c r="P21" s="1" t="s">
        <v>18</v>
      </c>
      <c r="Q21" s="1"/>
      <c r="R21" s="1"/>
      <c r="S21" s="1" t="s">
        <v>14</v>
      </c>
      <c r="T21" s="1" t="s">
        <v>22</v>
      </c>
    </row>
    <row r="22" spans="1:20">
      <c r="A22" s="5">
        <v>45488</v>
      </c>
      <c r="B22" s="5" t="s">
        <v>32</v>
      </c>
      <c r="C22" s="1">
        <v>3</v>
      </c>
      <c r="D22" s="1"/>
      <c r="E22" s="1">
        <v>18.8</v>
      </c>
      <c r="F22" s="3">
        <v>1.06</v>
      </c>
      <c r="G22" s="4">
        <v>15</v>
      </c>
      <c r="H22" s="4">
        <v>210</v>
      </c>
      <c r="I22" s="4">
        <f t="shared" si="0"/>
        <v>150</v>
      </c>
      <c r="J22" s="1">
        <v>15</v>
      </c>
      <c r="K22" s="1">
        <v>3.9300000000000033</v>
      </c>
      <c r="L22" s="1">
        <f>(1.09-F22)*131</f>
        <v>3.9300000000000033</v>
      </c>
      <c r="M22" s="4">
        <v>3</v>
      </c>
      <c r="N22" s="1" t="s">
        <v>19</v>
      </c>
      <c r="O22" s="1">
        <v>2</v>
      </c>
      <c r="P22" s="1" t="s">
        <v>17</v>
      </c>
      <c r="Q22" s="1"/>
      <c r="R22" s="1"/>
      <c r="S22" s="1"/>
      <c r="T22" s="1" t="s">
        <v>23</v>
      </c>
    </row>
    <row r="23" spans="1:20">
      <c r="A23" s="5">
        <v>45488</v>
      </c>
      <c r="B23" s="5" t="s">
        <v>32</v>
      </c>
      <c r="C23" s="1">
        <v>2</v>
      </c>
      <c r="D23" s="1"/>
      <c r="E23" s="1">
        <v>19.100000000000001</v>
      </c>
      <c r="F23" s="3">
        <v>1.07</v>
      </c>
      <c r="G23" s="4">
        <v>17.2</v>
      </c>
      <c r="H23" s="4">
        <v>210</v>
      </c>
      <c r="I23" s="4">
        <f t="shared" si="0"/>
        <v>172</v>
      </c>
      <c r="J23" s="1">
        <v>17</v>
      </c>
      <c r="K23" s="1">
        <v>2.6200000000000023</v>
      </c>
      <c r="L23" s="1">
        <f>(1.09-F23)*131</f>
        <v>2.6200000000000023</v>
      </c>
      <c r="M23" s="4">
        <v>3</v>
      </c>
      <c r="N23" s="1" t="s">
        <v>19</v>
      </c>
      <c r="O23" s="1">
        <v>3</v>
      </c>
      <c r="P23" s="1" t="s">
        <v>18</v>
      </c>
      <c r="Q23" s="1"/>
      <c r="R23" s="1"/>
      <c r="S23" s="1"/>
      <c r="T23" s="1" t="s">
        <v>22</v>
      </c>
    </row>
    <row r="24" spans="1:20">
      <c r="A24" s="5">
        <v>45489</v>
      </c>
      <c r="B24" s="5" t="s">
        <v>32</v>
      </c>
      <c r="C24" s="1">
        <v>4</v>
      </c>
      <c r="D24" s="1"/>
      <c r="E24" s="1">
        <v>19</v>
      </c>
      <c r="F24" s="3">
        <v>1.05</v>
      </c>
      <c r="G24" s="4">
        <v>12.4</v>
      </c>
      <c r="H24" s="4">
        <v>210</v>
      </c>
      <c r="I24" s="4">
        <f t="shared" si="0"/>
        <v>124</v>
      </c>
      <c r="J24" s="1">
        <v>16</v>
      </c>
      <c r="K24" s="1">
        <v>5.2400000000000047</v>
      </c>
      <c r="L24" s="1">
        <f t="shared" ref="L24:L34" si="7">(1.09-F24)*131</f>
        <v>5.2400000000000047</v>
      </c>
      <c r="M24" s="4">
        <v>3</v>
      </c>
      <c r="N24" s="1" t="s">
        <v>19</v>
      </c>
      <c r="O24" s="1">
        <v>2</v>
      </c>
      <c r="P24" s="1" t="s">
        <v>17</v>
      </c>
      <c r="Q24" s="1"/>
      <c r="R24" s="1"/>
      <c r="S24" s="1"/>
      <c r="T24" s="1" t="s">
        <v>23</v>
      </c>
    </row>
    <row r="25" spans="1:20">
      <c r="A25" s="5">
        <v>45489</v>
      </c>
      <c r="B25" s="5" t="s">
        <v>32</v>
      </c>
      <c r="C25" s="1">
        <v>3</v>
      </c>
      <c r="D25" s="1"/>
      <c r="E25" s="1">
        <v>19.399999999999999</v>
      </c>
      <c r="F25" s="3">
        <v>1.04</v>
      </c>
      <c r="G25" s="4">
        <v>10</v>
      </c>
      <c r="H25" s="4">
        <v>210</v>
      </c>
      <c r="I25" s="4">
        <f t="shared" si="0"/>
        <v>100</v>
      </c>
      <c r="J25" s="1">
        <v>13</v>
      </c>
      <c r="K25" s="1">
        <v>6.550000000000006</v>
      </c>
      <c r="L25" s="1">
        <f t="shared" si="7"/>
        <v>6.550000000000006</v>
      </c>
      <c r="M25" s="4">
        <v>3</v>
      </c>
      <c r="N25" s="1" t="s">
        <v>19</v>
      </c>
      <c r="O25" s="1">
        <v>3</v>
      </c>
      <c r="P25" s="1" t="s">
        <v>18</v>
      </c>
      <c r="Q25" s="1"/>
      <c r="R25" s="1"/>
      <c r="S25" s="1"/>
      <c r="T25" s="1" t="s">
        <v>22</v>
      </c>
    </row>
    <row r="26" spans="1:20">
      <c r="A26" s="5">
        <v>45490</v>
      </c>
      <c r="B26" s="5" t="s">
        <v>32</v>
      </c>
      <c r="C26" s="1">
        <v>5</v>
      </c>
      <c r="D26" s="1"/>
      <c r="E26" s="1">
        <v>19.3</v>
      </c>
      <c r="F26" s="3">
        <v>1.036</v>
      </c>
      <c r="G26" s="4">
        <v>9.1999999999999993</v>
      </c>
      <c r="H26" s="4">
        <v>210</v>
      </c>
      <c r="I26" s="4">
        <f t="shared" si="0"/>
        <v>92</v>
      </c>
      <c r="J26" s="1">
        <v>13</v>
      </c>
      <c r="K26" s="1">
        <v>7.0740000000000061</v>
      </c>
      <c r="L26" s="1">
        <f t="shared" si="7"/>
        <v>7.0740000000000061</v>
      </c>
      <c r="M26" s="4">
        <v>3</v>
      </c>
      <c r="N26" s="1" t="s">
        <v>19</v>
      </c>
      <c r="O26" s="1">
        <v>2</v>
      </c>
      <c r="P26" s="1" t="s">
        <v>17</v>
      </c>
      <c r="Q26" s="1"/>
      <c r="R26" s="1"/>
      <c r="S26" s="1"/>
      <c r="T26" s="1" t="s">
        <v>23</v>
      </c>
    </row>
    <row r="27" spans="1:20">
      <c r="A27" s="5">
        <v>45490</v>
      </c>
      <c r="B27" s="5" t="s">
        <v>32</v>
      </c>
      <c r="C27" s="1">
        <v>4</v>
      </c>
      <c r="D27" s="1"/>
      <c r="E27" s="1">
        <v>18.899999999999999</v>
      </c>
      <c r="F27" s="3">
        <v>1.01</v>
      </c>
      <c r="G27" s="4">
        <v>2.8</v>
      </c>
      <c r="H27" s="4">
        <v>210</v>
      </c>
      <c r="I27" s="4">
        <f t="shared" si="0"/>
        <v>28</v>
      </c>
      <c r="J27" s="1">
        <v>10</v>
      </c>
      <c r="K27" s="1">
        <v>10.480000000000009</v>
      </c>
      <c r="L27" s="1">
        <f t="shared" si="7"/>
        <v>10.480000000000009</v>
      </c>
      <c r="M27" s="4">
        <v>3</v>
      </c>
      <c r="N27" s="1" t="s">
        <v>19</v>
      </c>
      <c r="O27" s="1">
        <v>3</v>
      </c>
      <c r="P27" s="1" t="s">
        <v>18</v>
      </c>
      <c r="Q27" s="1"/>
      <c r="R27" s="1"/>
      <c r="S27" s="1"/>
      <c r="T27" s="1" t="s">
        <v>22</v>
      </c>
    </row>
    <row r="28" spans="1:20">
      <c r="A28" s="5">
        <v>45491</v>
      </c>
      <c r="B28" s="5" t="s">
        <v>32</v>
      </c>
      <c r="C28" s="1">
        <v>6</v>
      </c>
      <c r="D28" s="1"/>
      <c r="E28" s="1">
        <v>20.399999999999999</v>
      </c>
      <c r="F28" s="3">
        <v>1.02</v>
      </c>
      <c r="G28" s="4">
        <v>5.0810000000000004</v>
      </c>
      <c r="H28" s="4">
        <v>210</v>
      </c>
      <c r="I28" s="4">
        <f t="shared" si="0"/>
        <v>50.81</v>
      </c>
      <c r="J28" s="1">
        <v>10</v>
      </c>
      <c r="K28" s="1">
        <v>9.1700000000000088</v>
      </c>
      <c r="L28" s="1">
        <f t="shared" si="7"/>
        <v>9.1700000000000088</v>
      </c>
      <c r="M28" s="4">
        <v>3</v>
      </c>
      <c r="N28" s="1" t="s">
        <v>19</v>
      </c>
      <c r="O28" s="1">
        <v>2</v>
      </c>
      <c r="P28" s="1" t="s">
        <v>17</v>
      </c>
      <c r="Q28" s="1"/>
      <c r="R28" s="1"/>
      <c r="S28" s="1"/>
      <c r="T28" s="1" t="s">
        <v>23</v>
      </c>
    </row>
    <row r="29" spans="1:20">
      <c r="A29" s="5">
        <v>45491</v>
      </c>
      <c r="B29" s="5" t="s">
        <v>32</v>
      </c>
      <c r="C29" s="1">
        <v>5</v>
      </c>
      <c r="D29" s="1"/>
      <c r="E29" s="1">
        <v>19.8</v>
      </c>
      <c r="F29" s="3">
        <v>1.008</v>
      </c>
      <c r="G29" s="4">
        <v>2.0499999999999998</v>
      </c>
      <c r="H29" s="4">
        <v>210</v>
      </c>
      <c r="I29" s="4">
        <f t="shared" si="0"/>
        <v>20.5</v>
      </c>
      <c r="J29" s="1">
        <v>9</v>
      </c>
      <c r="K29" s="1">
        <v>10.74200000000001</v>
      </c>
      <c r="L29" s="1">
        <f t="shared" si="7"/>
        <v>10.74200000000001</v>
      </c>
      <c r="M29" s="4">
        <v>3</v>
      </c>
      <c r="N29" s="1" t="s">
        <v>19</v>
      </c>
      <c r="O29" s="1">
        <v>3</v>
      </c>
      <c r="P29" s="1" t="s">
        <v>18</v>
      </c>
      <c r="Q29" s="1"/>
      <c r="R29" s="1"/>
      <c r="S29" s="1"/>
      <c r="T29" s="1" t="s">
        <v>22</v>
      </c>
    </row>
    <row r="30" spans="1:20">
      <c r="A30" s="5">
        <v>45492</v>
      </c>
      <c r="B30" s="5" t="s">
        <v>32</v>
      </c>
      <c r="C30" s="1">
        <v>7</v>
      </c>
      <c r="D30" s="1"/>
      <c r="E30" s="1">
        <v>20.100000000000001</v>
      </c>
      <c r="F30" s="3">
        <v>1.0129999999999999</v>
      </c>
      <c r="G30" s="4">
        <v>3.32</v>
      </c>
      <c r="H30" s="4">
        <v>210</v>
      </c>
      <c r="I30" s="4">
        <f t="shared" si="0"/>
        <v>33.199999999999996</v>
      </c>
      <c r="J30" s="1">
        <v>10</v>
      </c>
      <c r="K30" s="1">
        <v>10.087000000000023</v>
      </c>
      <c r="L30" s="1">
        <f t="shared" si="7"/>
        <v>10.087000000000023</v>
      </c>
      <c r="M30" s="4">
        <v>3</v>
      </c>
      <c r="N30" s="1" t="s">
        <v>19</v>
      </c>
      <c r="O30" s="1">
        <v>2</v>
      </c>
      <c r="P30" s="1" t="s">
        <v>17</v>
      </c>
      <c r="Q30" s="1"/>
      <c r="R30" s="1"/>
      <c r="S30" s="1"/>
      <c r="T30" s="1" t="s">
        <v>23</v>
      </c>
    </row>
    <row r="31" spans="1:20">
      <c r="A31" s="5">
        <v>45492</v>
      </c>
      <c r="B31" s="5" t="s">
        <v>32</v>
      </c>
      <c r="C31" s="1">
        <v>6</v>
      </c>
      <c r="D31" s="1"/>
      <c r="E31" s="1">
        <v>19.399999999999999</v>
      </c>
      <c r="F31" s="3">
        <v>1.0069999999999999</v>
      </c>
      <c r="G31" s="4">
        <v>1.7949999999999999</v>
      </c>
      <c r="H31" s="4">
        <v>210</v>
      </c>
      <c r="I31" s="4">
        <f t="shared" si="0"/>
        <v>17.95</v>
      </c>
      <c r="J31" s="1">
        <v>7</v>
      </c>
      <c r="K31" s="1">
        <v>10.873000000000024</v>
      </c>
      <c r="L31" s="1">
        <f t="shared" si="7"/>
        <v>10.873000000000024</v>
      </c>
      <c r="M31" s="4">
        <v>3</v>
      </c>
      <c r="N31" s="1" t="s">
        <v>19</v>
      </c>
      <c r="O31" s="1">
        <v>3</v>
      </c>
      <c r="P31" s="1" t="s">
        <v>18</v>
      </c>
      <c r="Q31" s="1"/>
      <c r="R31" s="1"/>
      <c r="S31" s="1"/>
      <c r="T31" s="1" t="s">
        <v>22</v>
      </c>
    </row>
    <row r="32" spans="1:20">
      <c r="A32" s="5">
        <v>45494</v>
      </c>
      <c r="B32" s="5" t="s">
        <v>32</v>
      </c>
      <c r="C32" s="1">
        <v>9</v>
      </c>
      <c r="D32" s="1"/>
      <c r="E32" s="1">
        <v>19</v>
      </c>
      <c r="F32" s="3">
        <v>1.004</v>
      </c>
      <c r="G32" s="4">
        <v>1.0266999999999999</v>
      </c>
      <c r="H32" s="4">
        <v>210</v>
      </c>
      <c r="I32" s="4">
        <f t="shared" si="0"/>
        <v>10.266999999999999</v>
      </c>
      <c r="J32" s="1">
        <v>8</v>
      </c>
      <c r="K32" s="1">
        <v>11.266000000000011</v>
      </c>
      <c r="L32" s="1">
        <f t="shared" si="7"/>
        <v>11.266000000000011</v>
      </c>
      <c r="M32" s="4">
        <v>3.1</v>
      </c>
      <c r="N32" s="1" t="s">
        <v>19</v>
      </c>
      <c r="O32" s="1">
        <v>2</v>
      </c>
      <c r="P32" s="1" t="s">
        <v>17</v>
      </c>
      <c r="Q32" s="1"/>
      <c r="R32" s="1"/>
      <c r="S32" s="1"/>
      <c r="T32" s="1" t="s">
        <v>23</v>
      </c>
    </row>
    <row r="33" spans="1:20">
      <c r="A33" s="5">
        <v>45494</v>
      </c>
      <c r="B33" s="5" t="s">
        <v>32</v>
      </c>
      <c r="C33" s="1">
        <v>8</v>
      </c>
      <c r="D33" s="1"/>
      <c r="E33" s="1">
        <v>18.899999999999999</v>
      </c>
      <c r="F33" s="3">
        <v>0.995</v>
      </c>
      <c r="G33" s="4">
        <v>1</v>
      </c>
      <c r="H33" s="4">
        <v>210</v>
      </c>
      <c r="I33" s="4">
        <f t="shared" si="0"/>
        <v>10</v>
      </c>
      <c r="J33" s="1">
        <v>6</v>
      </c>
      <c r="K33" s="1">
        <v>12.445000000000011</v>
      </c>
      <c r="L33" s="1">
        <f t="shared" si="7"/>
        <v>12.445000000000011</v>
      </c>
      <c r="M33" s="4">
        <v>3</v>
      </c>
      <c r="N33" s="1" t="s">
        <v>19</v>
      </c>
      <c r="O33" s="1">
        <v>3</v>
      </c>
      <c r="P33" s="1" t="s">
        <v>18</v>
      </c>
      <c r="Q33" s="1"/>
      <c r="R33" s="1"/>
      <c r="S33" s="1" t="s">
        <v>13</v>
      </c>
      <c r="T33" s="1" t="s">
        <v>22</v>
      </c>
    </row>
    <row r="34" spans="1:20">
      <c r="A34" s="5">
        <v>45496</v>
      </c>
      <c r="B34" s="5" t="s">
        <v>32</v>
      </c>
      <c r="C34" s="1">
        <v>11</v>
      </c>
      <c r="D34" s="1"/>
      <c r="E34" s="1">
        <v>18.8</v>
      </c>
      <c r="F34" s="3">
        <v>0.997</v>
      </c>
      <c r="G34" s="4">
        <v>0.78</v>
      </c>
      <c r="H34" s="4">
        <v>210</v>
      </c>
      <c r="I34" s="4">
        <f t="shared" si="0"/>
        <v>7.8000000000000007</v>
      </c>
      <c r="J34" s="1">
        <v>7</v>
      </c>
      <c r="K34" s="1">
        <v>12.18</v>
      </c>
      <c r="L34" s="1">
        <f t="shared" si="7"/>
        <v>12.18300000000001</v>
      </c>
      <c r="M34" s="4">
        <v>3.1</v>
      </c>
      <c r="N34" s="1" t="s">
        <v>19</v>
      </c>
      <c r="O34" s="1">
        <v>2</v>
      </c>
      <c r="P34" s="1" t="s">
        <v>17</v>
      </c>
      <c r="Q34" s="1"/>
      <c r="R34" s="1"/>
      <c r="S34" s="1" t="s">
        <v>13</v>
      </c>
      <c r="T34" s="1" t="s">
        <v>23</v>
      </c>
    </row>
    <row r="35" spans="1:20">
      <c r="A35" s="5">
        <v>45498</v>
      </c>
      <c r="B35" s="5" t="s">
        <v>32</v>
      </c>
      <c r="C35" s="1">
        <v>0</v>
      </c>
      <c r="D35" s="1"/>
      <c r="E35" s="1">
        <v>18.8</v>
      </c>
      <c r="F35" s="3">
        <v>1.0760000000000001</v>
      </c>
      <c r="G35" s="4">
        <v>18.420000000000002</v>
      </c>
      <c r="H35" s="4">
        <v>210</v>
      </c>
      <c r="I35" s="4">
        <f t="shared" si="0"/>
        <v>184.20000000000002</v>
      </c>
      <c r="J35" s="1">
        <v>18</v>
      </c>
      <c r="K35" s="1">
        <v>0</v>
      </c>
      <c r="L35" s="1">
        <f>(1.076-F35)*131</f>
        <v>0</v>
      </c>
      <c r="M35" s="4">
        <v>3.2</v>
      </c>
      <c r="N35" s="1" t="s">
        <v>19</v>
      </c>
      <c r="O35" s="1">
        <v>4</v>
      </c>
      <c r="P35" s="1" t="s">
        <v>20</v>
      </c>
      <c r="Q35" s="1"/>
      <c r="R35" s="1"/>
      <c r="S35" s="1" t="s">
        <v>14</v>
      </c>
      <c r="T35" s="1" t="s">
        <v>21</v>
      </c>
    </row>
    <row r="36" spans="1:20">
      <c r="A36" s="5">
        <v>45501</v>
      </c>
      <c r="B36" s="5" t="s">
        <v>32</v>
      </c>
      <c r="C36" s="1">
        <v>3</v>
      </c>
      <c r="D36" s="1"/>
      <c r="E36" s="1">
        <v>18.899999999999999</v>
      </c>
      <c r="F36" s="3">
        <v>1.0669999999999999</v>
      </c>
      <c r="G36" s="4">
        <v>16.36</v>
      </c>
      <c r="H36" s="4">
        <v>210</v>
      </c>
      <c r="I36" s="4">
        <f t="shared" si="0"/>
        <v>163.6</v>
      </c>
      <c r="J36" s="1">
        <v>18</v>
      </c>
      <c r="K36" s="1">
        <v>1.1790000000000156</v>
      </c>
      <c r="L36" s="1">
        <f>(1.076-F36)*131</f>
        <v>1.1790000000000156</v>
      </c>
      <c r="M36" s="4">
        <v>3.1</v>
      </c>
      <c r="N36" s="1" t="s">
        <v>19</v>
      </c>
      <c r="O36" s="1">
        <v>4</v>
      </c>
      <c r="P36" s="1" t="s">
        <v>20</v>
      </c>
      <c r="Q36" s="1"/>
      <c r="R36" s="1"/>
      <c r="S36" s="1"/>
      <c r="T36" s="1" t="s">
        <v>21</v>
      </c>
    </row>
    <row r="37" spans="1:20">
      <c r="A37" s="5">
        <v>45503</v>
      </c>
      <c r="B37" s="5" t="s">
        <v>32</v>
      </c>
      <c r="C37" s="1">
        <v>5</v>
      </c>
      <c r="D37" s="1"/>
      <c r="E37" s="1">
        <v>18.3</v>
      </c>
      <c r="F37" s="3">
        <v>1.048</v>
      </c>
      <c r="G37" s="4">
        <v>11.911</v>
      </c>
      <c r="H37" s="4">
        <v>210</v>
      </c>
      <c r="I37" s="4">
        <f t="shared" si="0"/>
        <v>119.11</v>
      </c>
      <c r="J37" s="1">
        <v>18</v>
      </c>
      <c r="K37" s="1">
        <v>3.6680000000000033</v>
      </c>
      <c r="L37" s="1">
        <f t="shared" ref="L37:L46" si="8">(1.076-F37)*131</f>
        <v>3.6680000000000033</v>
      </c>
      <c r="M37" s="4">
        <v>3.1</v>
      </c>
      <c r="N37" s="1" t="s">
        <v>19</v>
      </c>
      <c r="O37" s="1">
        <v>4</v>
      </c>
      <c r="P37" s="1" t="s">
        <v>20</v>
      </c>
      <c r="Q37" s="1"/>
      <c r="R37" s="1"/>
      <c r="S37" s="1"/>
      <c r="T37" s="1" t="s">
        <v>21</v>
      </c>
    </row>
    <row r="38" spans="1:20">
      <c r="A38" s="5">
        <v>45505</v>
      </c>
      <c r="B38" s="5" t="s">
        <v>32</v>
      </c>
      <c r="C38" s="1">
        <v>7</v>
      </c>
      <c r="D38" s="1"/>
      <c r="E38" s="1">
        <v>17.8</v>
      </c>
      <c r="F38" s="3">
        <v>1.0349999999999999</v>
      </c>
      <c r="G38" s="4">
        <v>8.7799999999999994</v>
      </c>
      <c r="H38" s="4">
        <v>210</v>
      </c>
      <c r="I38" s="4">
        <f t="shared" si="0"/>
        <v>87.8</v>
      </c>
      <c r="J38" s="1">
        <v>16.5</v>
      </c>
      <c r="K38" s="1">
        <v>5.3710000000000191</v>
      </c>
      <c r="L38" s="1">
        <f t="shared" si="8"/>
        <v>5.3710000000000191</v>
      </c>
      <c r="M38" s="4">
        <v>3.2</v>
      </c>
      <c r="N38" s="1" t="s">
        <v>19</v>
      </c>
      <c r="O38" s="1">
        <v>4</v>
      </c>
      <c r="P38" s="1" t="s">
        <v>20</v>
      </c>
      <c r="Q38" s="1"/>
      <c r="R38" s="1"/>
      <c r="S38" s="1"/>
      <c r="T38" s="1" t="s">
        <v>21</v>
      </c>
    </row>
    <row r="39" spans="1:20">
      <c r="A39" s="5">
        <v>45507</v>
      </c>
      <c r="B39" s="5" t="s">
        <v>32</v>
      </c>
      <c r="C39" s="1">
        <v>9</v>
      </c>
      <c r="D39" s="1"/>
      <c r="E39" s="1">
        <v>18.3</v>
      </c>
      <c r="F39" s="3">
        <v>1.0309999999999999</v>
      </c>
      <c r="G39" s="4">
        <v>7.8</v>
      </c>
      <c r="H39" s="4">
        <v>210</v>
      </c>
      <c r="I39" s="4">
        <f t="shared" si="0"/>
        <v>78</v>
      </c>
      <c r="J39" s="1">
        <v>16</v>
      </c>
      <c r="K39" s="1">
        <v>5.89500000000002</v>
      </c>
      <c r="L39" s="1">
        <f t="shared" si="8"/>
        <v>5.89500000000002</v>
      </c>
      <c r="M39" s="4">
        <v>3.2</v>
      </c>
      <c r="N39" s="1" t="s">
        <v>19</v>
      </c>
      <c r="O39" s="1">
        <v>4</v>
      </c>
      <c r="P39" s="1" t="s">
        <v>20</v>
      </c>
      <c r="Q39" s="1"/>
      <c r="R39" s="1"/>
      <c r="S39" s="1"/>
      <c r="T39" s="1" t="s">
        <v>21</v>
      </c>
    </row>
    <row r="40" spans="1:20">
      <c r="A40" s="5">
        <v>45508</v>
      </c>
      <c r="B40" s="5" t="s">
        <v>32</v>
      </c>
      <c r="C40" s="1">
        <v>10</v>
      </c>
      <c r="D40" s="1"/>
      <c r="E40" s="1">
        <v>16.7</v>
      </c>
      <c r="F40" s="3">
        <v>1.03</v>
      </c>
      <c r="G40" s="4">
        <v>7.55</v>
      </c>
      <c r="H40" s="4">
        <v>210</v>
      </c>
      <c r="I40" s="4">
        <f t="shared" si="0"/>
        <v>75.5</v>
      </c>
      <c r="J40" s="1">
        <v>15</v>
      </c>
      <c r="K40" s="1">
        <v>6.0260000000000051</v>
      </c>
      <c r="L40" s="1">
        <f t="shared" si="8"/>
        <v>6.0260000000000051</v>
      </c>
      <c r="M40" s="4">
        <v>3.2</v>
      </c>
      <c r="N40" s="1" t="s">
        <v>19</v>
      </c>
      <c r="O40" s="1">
        <v>4</v>
      </c>
      <c r="P40" s="1" t="s">
        <v>20</v>
      </c>
      <c r="Q40" s="1"/>
      <c r="R40" s="1"/>
      <c r="S40" s="1"/>
      <c r="T40" s="1" t="s">
        <v>21</v>
      </c>
    </row>
    <row r="41" spans="1:20">
      <c r="A41" s="5">
        <v>45510</v>
      </c>
      <c r="B41" s="5" t="s">
        <v>32</v>
      </c>
      <c r="C41" s="1">
        <v>12</v>
      </c>
      <c r="D41" s="1"/>
      <c r="E41" s="1">
        <v>18.100000000000001</v>
      </c>
      <c r="F41" s="3">
        <v>1.026</v>
      </c>
      <c r="G41" s="4">
        <v>6.8</v>
      </c>
      <c r="H41" s="4">
        <v>210</v>
      </c>
      <c r="I41" s="4">
        <f t="shared" si="0"/>
        <v>68</v>
      </c>
      <c r="J41" s="1">
        <v>15</v>
      </c>
      <c r="K41" s="1">
        <v>6.550000000000006</v>
      </c>
      <c r="L41" s="1">
        <f t="shared" si="8"/>
        <v>6.550000000000006</v>
      </c>
      <c r="M41" s="4">
        <v>3.2</v>
      </c>
      <c r="N41" s="1" t="s">
        <v>19</v>
      </c>
      <c r="O41" s="1">
        <v>4</v>
      </c>
      <c r="P41" s="1" t="s">
        <v>20</v>
      </c>
      <c r="Q41" s="1"/>
      <c r="R41" s="1"/>
      <c r="S41" s="1"/>
      <c r="T41" s="1" t="s">
        <v>21</v>
      </c>
    </row>
    <row r="42" spans="1:20">
      <c r="A42" s="5">
        <v>45513</v>
      </c>
      <c r="B42" s="5" t="s">
        <v>32</v>
      </c>
      <c r="C42" s="1">
        <v>15</v>
      </c>
      <c r="D42" s="1"/>
      <c r="E42" s="1">
        <v>16.5</v>
      </c>
      <c r="F42" s="3">
        <v>1.018</v>
      </c>
      <c r="G42" s="4">
        <v>4.58</v>
      </c>
      <c r="H42" s="4">
        <v>210</v>
      </c>
      <c r="I42" s="4">
        <f t="shared" ref="I42:I46" si="9">G42*10</f>
        <v>45.8</v>
      </c>
      <c r="J42" s="1">
        <v>10</v>
      </c>
      <c r="K42" s="1">
        <v>7.598000000000007</v>
      </c>
      <c r="L42" s="1">
        <f t="shared" si="8"/>
        <v>7.598000000000007</v>
      </c>
      <c r="M42" s="4">
        <v>3.2</v>
      </c>
      <c r="N42" s="1" t="s">
        <v>19</v>
      </c>
      <c r="O42" s="1">
        <v>4</v>
      </c>
      <c r="P42" s="1" t="s">
        <v>20</v>
      </c>
      <c r="Q42" s="1"/>
      <c r="R42" s="1"/>
      <c r="S42" s="1"/>
      <c r="T42" s="1" t="s">
        <v>21</v>
      </c>
    </row>
    <row r="43" spans="1:20">
      <c r="A43" s="5">
        <v>45517</v>
      </c>
      <c r="B43" s="5" t="s">
        <v>32</v>
      </c>
      <c r="C43" s="1">
        <v>19</v>
      </c>
      <c r="D43" s="1"/>
      <c r="E43" s="1">
        <v>18.899999999999999</v>
      </c>
      <c r="F43" s="3">
        <v>1.0129999999999999</v>
      </c>
      <c r="G43" s="4">
        <v>3.32</v>
      </c>
      <c r="H43" s="4">
        <v>210</v>
      </c>
      <c r="I43" s="4">
        <f t="shared" si="9"/>
        <v>33.199999999999996</v>
      </c>
      <c r="J43" s="1"/>
      <c r="K43" s="1">
        <v>8.2530000000000214</v>
      </c>
      <c r="L43" s="1">
        <f t="shared" si="8"/>
        <v>8.2530000000000214</v>
      </c>
      <c r="M43" s="4">
        <v>3.2</v>
      </c>
      <c r="N43" s="1" t="s">
        <v>19</v>
      </c>
      <c r="O43" s="1">
        <v>4</v>
      </c>
      <c r="P43" s="1" t="s">
        <v>20</v>
      </c>
      <c r="Q43" s="1"/>
      <c r="R43" s="1"/>
      <c r="S43" s="1"/>
      <c r="T43" s="1" t="s">
        <v>21</v>
      </c>
    </row>
    <row r="44" spans="1:20">
      <c r="A44" s="5">
        <v>45520</v>
      </c>
      <c r="B44" s="5" t="s">
        <v>32</v>
      </c>
      <c r="C44" s="1">
        <v>22</v>
      </c>
      <c r="D44" s="1"/>
      <c r="E44" s="1">
        <v>17.8</v>
      </c>
      <c r="F44" s="3">
        <v>1.01</v>
      </c>
      <c r="G44" s="4">
        <v>2.8</v>
      </c>
      <c r="H44" s="4">
        <v>210</v>
      </c>
      <c r="I44" s="4">
        <f t="shared" si="9"/>
        <v>28</v>
      </c>
      <c r="J44" s="1"/>
      <c r="K44" s="1">
        <v>8.6460000000000079</v>
      </c>
      <c r="L44" s="1">
        <f t="shared" si="8"/>
        <v>8.6460000000000079</v>
      </c>
      <c r="M44" s="4">
        <v>3.2</v>
      </c>
      <c r="N44" s="1" t="s">
        <v>19</v>
      </c>
      <c r="O44" s="1">
        <v>4</v>
      </c>
      <c r="P44" s="1" t="s">
        <v>20</v>
      </c>
      <c r="Q44" s="1"/>
      <c r="R44" s="1"/>
      <c r="S44" s="1"/>
      <c r="T44" s="1" t="s">
        <v>21</v>
      </c>
    </row>
    <row r="45" spans="1:20">
      <c r="A45" s="5">
        <v>45526</v>
      </c>
      <c r="B45" s="5" t="s">
        <v>32</v>
      </c>
      <c r="C45" s="1">
        <v>28</v>
      </c>
      <c r="D45" s="1"/>
      <c r="E45" s="1">
        <v>15.6</v>
      </c>
      <c r="F45" s="3">
        <v>1.0009999999999999</v>
      </c>
      <c r="G45" s="4">
        <v>0.25</v>
      </c>
      <c r="H45" s="4">
        <v>210</v>
      </c>
      <c r="I45" s="4">
        <f t="shared" si="9"/>
        <v>2.5</v>
      </c>
      <c r="J45" s="1"/>
      <c r="K45" s="1">
        <v>9.8250000000000242</v>
      </c>
      <c r="L45" s="1">
        <f t="shared" si="8"/>
        <v>9.8250000000000242</v>
      </c>
      <c r="M45" s="4">
        <v>3.2</v>
      </c>
      <c r="N45" s="1" t="s">
        <v>19</v>
      </c>
      <c r="O45" s="1">
        <v>4</v>
      </c>
      <c r="P45" s="1" t="s">
        <v>20</v>
      </c>
      <c r="Q45" s="1"/>
      <c r="R45" s="1"/>
      <c r="S45" s="1"/>
      <c r="T45" s="1" t="s">
        <v>21</v>
      </c>
    </row>
    <row r="46" spans="1:20">
      <c r="A46" s="5">
        <v>45528</v>
      </c>
      <c r="B46" s="5" t="s">
        <v>32</v>
      </c>
      <c r="C46" s="1">
        <v>30</v>
      </c>
      <c r="D46" s="1"/>
      <c r="E46" s="1">
        <v>17.8</v>
      </c>
      <c r="F46" s="3">
        <v>0.999</v>
      </c>
      <c r="G46" s="4">
        <v>0.26</v>
      </c>
      <c r="H46" s="4">
        <v>210</v>
      </c>
      <c r="I46" s="4">
        <f t="shared" si="9"/>
        <v>2.6</v>
      </c>
      <c r="J46" s="1"/>
      <c r="K46" s="1">
        <v>10.09</v>
      </c>
      <c r="L46" s="1">
        <f t="shared" si="8"/>
        <v>10.087000000000009</v>
      </c>
      <c r="M46" s="4">
        <v>3.2</v>
      </c>
      <c r="N46" s="1" t="s">
        <v>19</v>
      </c>
      <c r="O46" s="1">
        <v>4</v>
      </c>
      <c r="P46" s="1" t="s">
        <v>20</v>
      </c>
      <c r="Q46" s="1"/>
      <c r="R46" s="1"/>
      <c r="S46" s="1" t="s">
        <v>13</v>
      </c>
      <c r="T46" s="1" t="s">
        <v>21</v>
      </c>
    </row>
  </sheetData>
  <autoFilter ref="A1:T46" xr:uid="{B964BB39-C028-4243-8E0E-D5C96DD83C88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Morocho (Nokia)</dc:creator>
  <cp:lastModifiedBy>Cristina Sangucho</cp:lastModifiedBy>
  <dcterms:created xsi:type="dcterms:W3CDTF">2024-08-14T14:10:45Z</dcterms:created>
  <dcterms:modified xsi:type="dcterms:W3CDTF">2026-05-26T01:43:19Z</dcterms:modified>
</cp:coreProperties>
</file>